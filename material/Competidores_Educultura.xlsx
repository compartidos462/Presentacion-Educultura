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dores" sheetId="1" state="visible" r:id="rId3"/>
    <sheet name="Prueba de respues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<sst xmlns="http://schemas.openxmlformats.org/spreadsheetml/2006/main" count="135" uniqueCount="91">
  <si>
    <t xml:space="preserve">Agencia</t>
  </si>
  <si>
    <t xml:space="preserve">Tipo</t>
  </si>
  <si>
    <t xml:space="preserve">Ciudades</t>
  </si>
  <si>
    <t xml:space="preserve">Programas que coinciden con Educultura</t>
  </si>
  <si>
    <t xml:space="preserve">Canal de atención</t>
  </si>
  <si>
    <t xml:space="preserve">WhatsApp / teléfono</t>
  </si>
  <si>
    <t xml:space="preserve">Web</t>
  </si>
  <si>
    <t xml:space="preserve">Publica precios</t>
  </si>
  <si>
    <t xml:space="preserve">Diferenciador</t>
  </si>
  <si>
    <t xml:space="preserve">Verificado</t>
  </si>
  <si>
    <t xml:space="preserve">Ciudad Mundo</t>
  </si>
  <si>
    <t xml:space="preserve">Competidor directo</t>
  </si>
  <si>
    <t xml:space="preserve">La Paz · Santa Cruz</t>
  </si>
  <si>
    <t xml:space="preserve">Work &amp; Travel, Camp USA/Europa, pasantías, Teacher USA, Canadá</t>
  </si>
  <si>
    <t xml:space="preserve">Oficina y WhatsApp</t>
  </si>
  <si>
    <t xml:space="preserve">77202444 / 73623199</t>
  </si>
  <si>
    <t xml:space="preserve">ciudadmundo.org</t>
  </si>
  <si>
    <t xml:space="preserve">No</t>
  </si>
  <si>
    <t xml:space="preserve">Portafolio J-1 más parecido al de Educultura</t>
  </si>
  <si>
    <t xml:space="preserve">Pendiente</t>
  </si>
  <si>
    <t xml:space="preserve">Au Pair Bolivia</t>
  </si>
  <si>
    <t xml:space="preserve">Au Pair EE.UU., Alemania, Francia</t>
  </si>
  <si>
    <t xml:space="preserve">73550626 / 70869173</t>
  </si>
  <si>
    <t xml:space="preserve">aupairbolivia.com</t>
  </si>
  <si>
    <t xml:space="preserve">Especialista en Au Pair desde 2004</t>
  </si>
  <si>
    <t xml:space="preserve">Overseas Bolivia</t>
  </si>
  <si>
    <t xml:space="preserve">En línea</t>
  </si>
  <si>
    <t xml:space="preserve">Work &amp; Travel, pasantías EE.UU./España, Au Pair, Camp, Teacher</t>
  </si>
  <si>
    <t xml:space="preserve">WhatsApp con cita</t>
  </si>
  <si>
    <t xml:space="preserve">73527673</t>
  </si>
  <si>
    <t xml:space="preserve">bolivia.overseasj1.com</t>
  </si>
  <si>
    <t xml:space="preserve">Catálogo casi idéntico, 100% online</t>
  </si>
  <si>
    <t xml:space="preserve">SERES Bolivia</t>
  </si>
  <si>
    <t xml:space="preserve">Santa Cruz</t>
  </si>
  <si>
    <t xml:space="preserve">Idiomas, college con prácticas, universidades, camps, tours</t>
  </si>
  <si>
    <t xml:space="preserve">Oficina y teléfono</t>
  </si>
  <si>
    <t xml:space="preserve">70888527</t>
  </si>
  <si>
    <t xml:space="preserve">seres.org.bo</t>
  </si>
  <si>
    <t xml:space="preserve">+20 años en Santa Cruz</t>
  </si>
  <si>
    <t xml:space="preserve">Bolanda</t>
  </si>
  <si>
    <t xml:space="preserve">Estudio y trabajo en Irlanda, UK, Canadá, Dubái</t>
  </si>
  <si>
    <t xml:space="preserve">77337691</t>
  </si>
  <si>
    <t xml:space="preserve">bolanda.net</t>
  </si>
  <si>
    <t xml:space="preserve">Especialista en estudio y trabajo</t>
  </si>
  <si>
    <t xml:space="preserve">Bridge Viajes y School</t>
  </si>
  <si>
    <t xml:space="preserve">Cochabamba</t>
  </si>
  <si>
    <t xml:space="preserve">Estudio y trabajo en Irlanda, viajes</t>
  </si>
  <si>
    <t xml:space="preserve">76468980</t>
  </si>
  <si>
    <t xml:space="preserve">bridgeintercambios.com</t>
  </si>
  <si>
    <t xml:space="preserve">Rival local en Irlanda y boletos</t>
  </si>
  <si>
    <t xml:space="preserve">Extudia</t>
  </si>
  <si>
    <t xml:space="preserve">Cochabamba · La Paz</t>
  </si>
  <si>
    <t xml:space="preserve">Pregrado, posgrado, idiomas en el exterior</t>
  </si>
  <si>
    <t xml:space="preserve">Oficina y formulario web</t>
  </si>
  <si>
    <t xml:space="preserve">—</t>
  </si>
  <si>
    <t xml:space="preserve">extudia.com</t>
  </si>
  <si>
    <t xml:space="preserve">Oficina en Hupermall (CBBA)</t>
  </si>
  <si>
    <t xml:space="preserve">AFS Bolivia</t>
  </si>
  <si>
    <t xml:space="preserve">Competidor parcial</t>
  </si>
  <si>
    <t xml:space="preserve">La Paz · CBBA · SCZ</t>
  </si>
  <si>
    <t xml:space="preserve">High School e idiomas en el exterior</t>
  </si>
  <si>
    <t xml:space="preserve">Oficina y comités</t>
  </si>
  <si>
    <t xml:space="preserve">afsbolivia.org</t>
  </si>
  <si>
    <t xml:space="preserve">Sí</t>
  </si>
  <si>
    <t xml:space="preserve">Publica tarifas en su web</t>
  </si>
  <si>
    <t xml:space="preserve">Camp Leaders ROSA</t>
  </si>
  <si>
    <t xml:space="preserve">Summer Camp EE.UU.</t>
  </si>
  <si>
    <t xml:space="preserve">campleaders.com/rosa</t>
  </si>
  <si>
    <t xml:space="preserve">Parcial</t>
  </si>
  <si>
    <t xml:space="preserve">Recluta online, sin oficina local</t>
  </si>
  <si>
    <t xml:space="preserve">Global Work &amp; Travel</t>
  </si>
  <si>
    <t xml:space="preserve">Work &amp; Travel, Au Pair, pasantías, idiomas</t>
  </si>
  <si>
    <t xml:space="preserve">App y web</t>
  </si>
  <si>
    <t xml:space="preserve">globalworkandtravel.com</t>
  </si>
  <si>
    <t xml:space="preserve">App propia para el viajero</t>
  </si>
  <si>
    <t xml:space="preserve">Nota: no son competidores (proveedores u oficiales): EducationUSA, Campus France, Goethe/ICBA, Anglia, BLS España, Rotary, AIESEC, Didaktikos.</t>
  </si>
  <si>
    <t xml:space="preserve">Columna amarilla: marcar "Sí" cuando el dato se revise en la web o red de la agencia.</t>
  </si>
  <si>
    <t xml:space="preserve">Fecha y hora del mensaje</t>
  </si>
  <si>
    <t xml:space="preserve">Fecha y hora de la respuesta</t>
  </si>
  <si>
    <t xml:space="preserve">Minutos</t>
  </si>
  <si>
    <t xml:space="preserve">¿Respondió?</t>
  </si>
  <si>
    <t xml:space="preserve">Respondió con precio</t>
  </si>
  <si>
    <t xml:space="preserve">Notas</t>
  </si>
  <si>
    <t xml:space="preserve">Ejemplo</t>
  </si>
  <si>
    <t xml:space="preserve">2026-10-27 15:00</t>
  </si>
  <si>
    <t xml:space="preserve">2026-10-27 15:45</t>
  </si>
  <si>
    <t xml:space="preserve">Pidió agendar llamada</t>
  </si>
  <si>
    <t xml:space="preserve">Educultura</t>
  </si>
  <si>
    <t xml:space="preserve">Promedio sector (sin Educultura, sin ejemplo)</t>
  </si>
  <si>
    <t xml:space="preserve">Respondieron en menos de 1 hora</t>
  </si>
  <si>
    <t xml:space="preserve">Llenar en amarillo con formato AAAA-MM-DD HH:MM. Minutos se calcula solo; pasarlo a la diapositiva "Prueba de respuesta".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</si>
</sst>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B719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F98"/>
        <bgColor rgb="FF003366"/>
      </patternFill>
    </fill>
    <fill>
      <patternFill patternType="solid">
        <fgColor rgb="FFFFF59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197"/>
      <rgbColor rgb="FF969696"/>
      <rgbColor rgb="FF003366"/>
      <rgbColor rgb="FF339966"/>
      <rgbColor rgb="FF003300"/>
      <rgbColor rgb="FF333300"/>
      <rgbColor rgb="FF993300"/>
      <rgbColor rgb="FF993366"/>
      <rgbColor rgb="FF1F2F9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6" min="5" style="0" width="22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0" min="10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6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customFormat="false" ht="26.85" hidden="false" customHeight="false" outlineLevel="0" collapsed="false">
      <c r="A3" s="2" t="s">
        <v>20</v>
      </c>
      <c r="B3" s="2" t="s">
        <v>11</v>
      </c>
      <c r="C3" s="2" t="s">
        <v>12</v>
      </c>
      <c r="D3" s="2" t="s">
        <v>21</v>
      </c>
      <c r="E3" s="2" t="s">
        <v>14</v>
      </c>
      <c r="F3" s="2" t="s">
        <v>22</v>
      </c>
      <c r="G3" s="2" t="s">
        <v>23</v>
      </c>
      <c r="H3" s="2" t="s">
        <v>17</v>
      </c>
      <c r="I3" s="2" t="s">
        <v>24</v>
      </c>
      <c r="J3" s="3" t="s">
        <v>19</v>
      </c>
    </row>
    <row r="4" customFormat="false" ht="26.85" hidden="false" customHeight="false" outlineLevel="0" collapsed="false">
      <c r="A4" s="2" t="s">
        <v>25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31</v>
      </c>
      <c r="J4" s="3" t="s">
        <v>19</v>
      </c>
    </row>
    <row r="5" customFormat="false" ht="26.85" hidden="false" customHeight="false" outlineLevel="0" collapsed="false">
      <c r="A5" s="2" t="s">
        <v>32</v>
      </c>
      <c r="B5" s="2" t="s">
        <v>11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17</v>
      </c>
      <c r="I5" s="2" t="s">
        <v>38</v>
      </c>
      <c r="J5" s="3" t="s">
        <v>19</v>
      </c>
    </row>
    <row r="6" customFormat="false" ht="26.85" hidden="false" customHeight="false" outlineLevel="0" collapsed="false">
      <c r="A6" s="2" t="s">
        <v>39</v>
      </c>
      <c r="B6" s="2" t="s">
        <v>11</v>
      </c>
      <c r="C6" s="2" t="s">
        <v>33</v>
      </c>
      <c r="D6" s="2" t="s">
        <v>40</v>
      </c>
      <c r="E6" s="2" t="s">
        <v>14</v>
      </c>
      <c r="F6" s="2" t="s">
        <v>41</v>
      </c>
      <c r="G6" s="2" t="s">
        <v>42</v>
      </c>
      <c r="H6" s="2" t="s">
        <v>17</v>
      </c>
      <c r="I6" s="2" t="s">
        <v>43</v>
      </c>
      <c r="J6" s="3" t="s">
        <v>19</v>
      </c>
    </row>
    <row r="7" customFormat="false" ht="26.85" hidden="false" customHeight="false" outlineLevel="0" collapsed="false">
      <c r="A7" s="2" t="s">
        <v>44</v>
      </c>
      <c r="B7" s="2" t="s">
        <v>11</v>
      </c>
      <c r="C7" s="2" t="s">
        <v>45</v>
      </c>
      <c r="D7" s="2" t="s">
        <v>46</v>
      </c>
      <c r="E7" s="2" t="s">
        <v>14</v>
      </c>
      <c r="F7" s="2" t="s">
        <v>47</v>
      </c>
      <c r="G7" s="2" t="s">
        <v>48</v>
      </c>
      <c r="H7" s="2" t="s">
        <v>17</v>
      </c>
      <c r="I7" s="2" t="s">
        <v>49</v>
      </c>
      <c r="J7" s="3" t="s">
        <v>19</v>
      </c>
    </row>
    <row r="8" customFormat="false" ht="26.85" hidden="false" customHeight="false" outlineLevel="0" collapsed="false">
      <c r="A8" s="2" t="s">
        <v>50</v>
      </c>
      <c r="B8" s="2" t="s">
        <v>11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17</v>
      </c>
      <c r="I8" s="2" t="s">
        <v>56</v>
      </c>
      <c r="J8" s="3" t="s">
        <v>19</v>
      </c>
    </row>
    <row r="9" customFormat="false" ht="26.85" hidden="false" customHeight="false" outlineLevel="0" collapsed="false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54</v>
      </c>
      <c r="G9" s="2" t="s">
        <v>62</v>
      </c>
      <c r="H9" s="2" t="s">
        <v>63</v>
      </c>
      <c r="I9" s="2" t="s">
        <v>64</v>
      </c>
      <c r="J9" s="3" t="s">
        <v>19</v>
      </c>
    </row>
    <row r="10" customFormat="false" ht="15" hidden="false" customHeight="false" outlineLevel="0" collapsed="false">
      <c r="A10" s="2" t="s">
        <v>65</v>
      </c>
      <c r="B10" s="2" t="s">
        <v>58</v>
      </c>
      <c r="C10" s="2" t="s">
        <v>26</v>
      </c>
      <c r="D10" s="2" t="s">
        <v>66</v>
      </c>
      <c r="E10" s="2" t="s">
        <v>6</v>
      </c>
      <c r="F10" s="2" t="s">
        <v>54</v>
      </c>
      <c r="G10" s="2" t="s">
        <v>67</v>
      </c>
      <c r="H10" s="2" t="s">
        <v>68</v>
      </c>
      <c r="I10" s="2" t="s">
        <v>69</v>
      </c>
      <c r="J10" s="3" t="s">
        <v>19</v>
      </c>
    </row>
    <row r="11" customFormat="false" ht="15" hidden="false" customHeight="false" outlineLevel="0" collapsed="false">
      <c r="A11" s="2" t="s">
        <v>70</v>
      </c>
      <c r="B11" s="2" t="s">
        <v>58</v>
      </c>
      <c r="C11" s="2" t="s">
        <v>26</v>
      </c>
      <c r="D11" s="2" t="s">
        <v>71</v>
      </c>
      <c r="E11" s="2" t="s">
        <v>72</v>
      </c>
      <c r="F11" s="2" t="s">
        <v>54</v>
      </c>
      <c r="G11" s="2" t="s">
        <v>73</v>
      </c>
      <c r="H11" s="2" t="s">
        <v>68</v>
      </c>
      <c r="I11" s="2" t="s">
        <v>74</v>
      </c>
      <c r="J11" s="3" t="s">
        <v>19</v>
      </c>
    </row>
    <row r="13" customFormat="false" ht="15" hidden="false" customHeight="false" outlineLevel="0" collapsed="false">
      <c r="A13" s="4" t="s">
        <v>75</v>
      </c>
    </row>
    <row r="14" customFormat="false" ht="15" hidden="false" customHeight="false" outlineLevel="0" collapsed="false">
      <c r="A14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26.85" hidden="false" customHeight="false" outlineLevel="0" collapsed="false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</row>
    <row r="2" customFormat="false" ht="15" hidden="false" customHeight="false" outlineLevel="0" collapsed="false">
      <c r="A2" s="4" t="s">
        <v>83</v>
      </c>
      <c r="B2" s="4" t="s">
        <v>84</v>
      </c>
      <c r="C2" s="4" t="s">
        <v>85</v>
      </c>
      <c r="D2" s="4" t="n">
        <f aca="false">IF(OR(B2="",C2=""),"",ROUND((DATEVALUE(LEFT(C2,10))+TIMEVALUE(RIGHT(C2,5))-DATEVALUE(LEFT(B2,10))-TIMEVALUE(RIGHT(B2,5)))*1440,0))</f>
        <v>45</v>
      </c>
      <c r="E2" s="4" t="s">
        <v>63</v>
      </c>
      <c r="F2" s="4" t="s">
        <v>17</v>
      </c>
      <c r="G2" s="4" t="s">
        <v>86</v>
      </c>
    </row>
    <row r="3" customFormat="false" ht="15" hidden="false" customHeight="false" outlineLevel="0" collapsed="false">
      <c r="A3" s="5" t="s">
        <v>10</v>
      </c>
      <c r="B3" s="6"/>
      <c r="C3" s="6"/>
      <c r="D3" s="5" t="str">
        <f aca="false">IF(OR(B3="",C3=""),"",ROUND((DATEVALUE(LEFT(C3,10))+TIMEVALUE(RIGHT(C3,5))-DATEVALUE(LEFT(B3,10))-TIMEVALUE(RIGHT(B3,5)))*1440,0))</f>
        <v/>
      </c>
      <c r="E3" s="6"/>
      <c r="F3" s="6"/>
      <c r="G3" s="5"/>
    </row>
    <row r="4" customFormat="false" ht="15" hidden="false" customHeight="false" outlineLevel="0" collapsed="false">
      <c r="A4" s="5" t="s">
        <v>20</v>
      </c>
      <c r="B4" s="6"/>
      <c r="C4" s="6"/>
      <c r="D4" s="5" t="str">
        <f aca="false">IF(OR(B4="",C4=""),"",ROUND((DATEVALUE(LEFT(C4,10))+TIMEVALUE(RIGHT(C4,5))-DATEVALUE(LEFT(B4,10))-TIMEVALUE(RIGHT(B4,5)))*1440,0))</f>
        <v/>
      </c>
      <c r="E4" s="6"/>
      <c r="F4" s="6"/>
      <c r="G4" s="5"/>
    </row>
    <row r="5" customFormat="false" ht="15" hidden="false" customHeight="false" outlineLevel="0" collapsed="false">
      <c r="A5" s="5" t="s">
        <v>32</v>
      </c>
      <c r="B5" s="6"/>
      <c r="C5" s="6"/>
      <c r="D5" s="5" t="str">
        <f aca="false">IF(OR(B5="",C5=""),"",ROUND((DATEVALUE(LEFT(C5,10))+TIMEVALUE(RIGHT(C5,5))-DATEVALUE(LEFT(B5,10))-TIMEVALUE(RIGHT(B5,5)))*1440,0))</f>
        <v/>
      </c>
      <c r="E5" s="6"/>
      <c r="F5" s="6"/>
      <c r="G5" s="5"/>
    </row>
    <row r="6" customFormat="false" ht="15" hidden="false" customHeight="false" outlineLevel="0" collapsed="false">
      <c r="A6" s="5" t="s">
        <v>39</v>
      </c>
      <c r="B6" s="6"/>
      <c r="C6" s="6"/>
      <c r="D6" s="5" t="str">
        <f aca="false">IF(OR(B6="",C6=""),"",ROUND((DATEVALUE(LEFT(C6,10))+TIMEVALUE(RIGHT(C6,5))-DATEVALUE(LEFT(B6,10))-TIMEVALUE(RIGHT(B6,5)))*1440,0))</f>
        <v/>
      </c>
      <c r="E6" s="6"/>
      <c r="F6" s="6"/>
      <c r="G6" s="5"/>
    </row>
    <row r="7" customFormat="false" ht="15" hidden="false" customHeight="false" outlineLevel="0" collapsed="false">
      <c r="A7" s="5" t="s">
        <v>44</v>
      </c>
      <c r="B7" s="6"/>
      <c r="C7" s="6"/>
      <c r="D7" s="5" t="str">
        <f aca="false">IF(OR(B7="",C7=""),"",ROUND((DATEVALUE(LEFT(C7,10))+TIMEVALUE(RIGHT(C7,5))-DATEVALUE(LEFT(B7,10))-TIMEVALUE(RIGHT(B7,5)))*1440,0))</f>
        <v/>
      </c>
      <c r="E7" s="6"/>
      <c r="F7" s="6"/>
      <c r="G7" s="5"/>
    </row>
    <row r="8" customFormat="false" ht="15" hidden="false" customHeight="false" outlineLevel="0" collapsed="false">
      <c r="A8" s="5" t="s">
        <v>25</v>
      </c>
      <c r="B8" s="6"/>
      <c r="C8" s="6"/>
      <c r="D8" s="5" t="str">
        <f aca="false">IF(OR(B8="",C8=""),"",ROUND((DATEVALUE(LEFT(C8,10))+TIMEVALUE(RIGHT(C8,5))-DATEVALUE(LEFT(B8,10))-TIMEVALUE(RIGHT(B8,5)))*1440,0))</f>
        <v/>
      </c>
      <c r="E8" s="6"/>
      <c r="F8" s="6"/>
      <c r="G8" s="5"/>
    </row>
    <row r="9" customFormat="false" ht="15" hidden="false" customHeight="false" outlineLevel="0" collapsed="false">
      <c r="A9" s="5" t="s">
        <v>87</v>
      </c>
      <c r="B9" s="6"/>
      <c r="C9" s="6"/>
      <c r="D9" s="5" t="str">
        <f aca="false">IF(OR(B9="",C9=""),"",ROUND((DATEVALUE(LEFT(C9,10))+TIMEVALUE(RIGHT(C9,5))-DATEVALUE(LEFT(B9,10))-TIMEVALUE(RIGHT(B9,5)))*1440,0))</f>
        <v/>
      </c>
      <c r="E9" s="6"/>
      <c r="F9" s="6"/>
      <c r="G9" s="5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 t="s">
        <v>88</v>
      </c>
      <c r="B11" s="7"/>
      <c r="C11" s="7"/>
      <c r="D11" s="7" t="str">
        <f aca="false">IFERROR(AVERAGE(D3:D8),"")</f>
        <v/>
      </c>
      <c r="E11" s="7"/>
      <c r="F11" s="7"/>
      <c r="G11" s="7"/>
    </row>
    <row r="12" customFormat="false" ht="15" hidden="false" customHeight="false" outlineLevel="0" collapsed="false">
      <c r="A12" s="7" t="s">
        <v>89</v>
      </c>
      <c r="B12" s="7"/>
      <c r="C12" s="7"/>
      <c r="D12" s="7" t="n">
        <f aca="false">COUNTIFS(D3:D8,"&lt;=60")</f>
        <v>0</v>
      </c>
      <c r="E12" s="7"/>
      <c r="F12" s="7"/>
      <c r="G12" s="7"/>
    </row>
    <row r="14" customFormat="false" ht="15" hidden="false" customHeight="false" outlineLevel="0" collapsed="false">
      <c r="A14" s="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2026-10-27T18:46:34Z</dcterms:created>
  <dc:creator>openpyxl</dc:creator>
  <dc:description/>
  <dc:language>en-US</dc:language>
  <cp:lastModifiedBy/>
  <dcterms:modified xsi:type="dcterms:W3CDTF">2026-10-27T18:46:34Z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